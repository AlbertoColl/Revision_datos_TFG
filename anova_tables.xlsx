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GitHub\Revision_datos_TFG\"/>
    </mc:Choice>
  </mc:AlternateContent>
  <xr:revisionPtr revIDLastSave="0" documentId="13_ncr:1_{A5ADCEA5-9BE4-4890-8040-48194F03F721}" xr6:coauthVersionLast="47" xr6:coauthVersionMax="47" xr10:uidLastSave="{00000000-0000-0000-0000-000000000000}"/>
  <bookViews>
    <workbookView xWindow="-120" yWindow="-120" windowWidth="20730" windowHeight="11040" activeTab="1" xr2:uid="{E82EE2BE-35CF-4DB7-AA25-A73A75F265A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35" i="1" l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" i="1"/>
</calcChain>
</file>

<file path=xl/sharedStrings.xml><?xml version="1.0" encoding="utf-8"?>
<sst xmlns="http://schemas.openxmlformats.org/spreadsheetml/2006/main" count="314" uniqueCount="25">
  <si>
    <t>Variable</t>
  </si>
  <si>
    <t>Effect</t>
  </si>
  <si>
    <t>DFn</t>
  </si>
  <si>
    <t>DFd</t>
  </si>
  <si>
    <t>F</t>
  </si>
  <si>
    <t>section</t>
  </si>
  <si>
    <t>time</t>
  </si>
  <si>
    <t>section:time</t>
  </si>
  <si>
    <t>Columnar</t>
  </si>
  <si>
    <t>Tentacular</t>
  </si>
  <si>
    <t>Extract</t>
  </si>
  <si>
    <t>SOD</t>
  </si>
  <si>
    <t>CAT</t>
  </si>
  <si>
    <t>GPx</t>
  </si>
  <si>
    <t>GST</t>
  </si>
  <si>
    <t>GR</t>
  </si>
  <si>
    <t>NQO1</t>
  </si>
  <si>
    <t>TEAC</t>
  </si>
  <si>
    <t>MDA</t>
  </si>
  <si>
    <t>ACP</t>
  </si>
  <si>
    <t>ALP</t>
  </si>
  <si>
    <t>MPO</t>
  </si>
  <si>
    <t>p-value</t>
  </si>
  <si>
    <t xml:space="preserve"> 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</si>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</sst>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164" fontId="5" fillId="2" borderId="0" xfId="0" applyNumberFormat="1" applyFont="1" applyFill="1"/>
    <xf numFmtId="1" fontId="2" fillId="2" borderId="0" xfId="0" applyNumberFormat="1" applyFont="1" applyFill="1"/>
    <xf numFmtId="164" fontId="5" fillId="2" borderId="1" xfId="0" applyNumberFormat="1" applyFont="1" applyFill="1" applyBorder="1"/>
    <xf numFmtId="1" fontId="2" fillId="2" borderId="1" xfId="0" applyNumberFormat="1" applyFont="1" applyFill="1" applyBorder="1"/>
    <xf numFmtId="0" fontId="5" fillId="2" borderId="0" xfId="0" applyFont="1" applyFill="1"/>
    <xf numFmtId="0" fontId="5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A54D1-AAE7-40E0-975F-E198891D1A22}">
  <dimension ref="A1:Q35"/>
  <sheetViews>
    <sheetView topLeftCell="A16" zoomScaleNormal="100" workbookViewId="0">
      <selection activeCell="A2" sqref="A2:Q35"/>
    </sheetView>
  </sheetViews>
  <sheetFormatPr defaultRowHeight="15" x14ac:dyDescent="0.25"/>
  <cols>
    <col min="1" max="1" width="9.7109375" style="1" bestFit="1" customWidth="1"/>
    <col min="2" max="2" width="8.42578125" style="1" bestFit="1" customWidth="1"/>
    <col min="3" max="3" width="11.85546875" style="1" bestFit="1" customWidth="1"/>
    <col min="4" max="5" width="4.5703125" style="1" bestFit="1" customWidth="1"/>
    <col min="6" max="6" width="8.42578125" style="1" bestFit="1" customWidth="1"/>
    <col min="7" max="7" width="7.7109375" style="1" bestFit="1" customWidth="1"/>
    <col min="8" max="8" width="2.140625" bestFit="1" customWidth="1"/>
    <col min="9" max="9" width="5.28515625" style="1" customWidth="1"/>
    <col min="10" max="10" width="11.5703125" style="1" bestFit="1" customWidth="1"/>
    <col min="11" max="11" width="8.42578125" style="1" bestFit="1" customWidth="1"/>
    <col min="12" max="12" width="11.85546875" style="1" bestFit="1" customWidth="1"/>
    <col min="13" max="14" width="4.5703125" style="1" bestFit="1" customWidth="1"/>
    <col min="15" max="15" width="8.42578125" style="1" bestFit="1" customWidth="1"/>
    <col min="16" max="16" width="8.85546875" style="1" bestFit="1" customWidth="1"/>
    <col min="17" max="17" width="3.140625" customWidth="1"/>
  </cols>
  <sheetData>
    <row r="1" spans="1:17" ht="15.75" thickBot="1" x14ac:dyDescent="0.3"/>
    <row r="2" spans="1:17" x14ac:dyDescent="0.25">
      <c r="A2" s="3" t="s">
        <v>10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22</v>
      </c>
      <c r="H2" s="2"/>
      <c r="I2" s="3"/>
      <c r="J2" s="3" t="s">
        <v>10</v>
      </c>
      <c r="K2" s="3" t="s">
        <v>0</v>
      </c>
      <c r="L2" s="3" t="s">
        <v>1</v>
      </c>
      <c r="M2" s="3" t="s">
        <v>2</v>
      </c>
      <c r="N2" s="3" t="s">
        <v>3</v>
      </c>
      <c r="O2" s="3" t="s">
        <v>4</v>
      </c>
      <c r="P2" s="3" t="s">
        <v>22</v>
      </c>
      <c r="Q2" s="4"/>
    </row>
    <row r="3" spans="1:17" x14ac:dyDescent="0.25">
      <c r="A3" s="9" t="s">
        <v>8</v>
      </c>
      <c r="B3" s="9" t="s">
        <v>11</v>
      </c>
      <c r="C3" s="9" t="s">
        <v>5</v>
      </c>
      <c r="D3" s="9">
        <v>1</v>
      </c>
      <c r="E3" s="9">
        <v>32</v>
      </c>
      <c r="F3" s="5">
        <v>9.9000000000000005E-2</v>
      </c>
      <c r="G3" s="5">
        <v>0.87364285699999999</v>
      </c>
      <c r="H3" s="6" t="str">
        <f>IF(0.05&gt;G3,"*"," ")</f>
        <v xml:space="preserve"> </v>
      </c>
      <c r="I3" s="5"/>
      <c r="J3" s="9" t="s">
        <v>9</v>
      </c>
      <c r="K3" s="9" t="s">
        <v>11</v>
      </c>
      <c r="L3" s="9" t="s">
        <v>5</v>
      </c>
      <c r="M3" s="9">
        <v>1</v>
      </c>
      <c r="N3" s="9">
        <v>29</v>
      </c>
      <c r="O3" s="5">
        <v>6.6340000000000003</v>
      </c>
      <c r="P3" s="5">
        <v>5.7857143E-2</v>
      </c>
      <c r="Q3" s="6" t="str">
        <f>IF(0.05&gt;P3,"*"," ")</f>
        <v xml:space="preserve"> </v>
      </c>
    </row>
    <row r="4" spans="1:17" x14ac:dyDescent="0.25">
      <c r="A4" s="9"/>
      <c r="B4" s="9"/>
      <c r="C4" s="9" t="s">
        <v>6</v>
      </c>
      <c r="D4" s="9">
        <v>1</v>
      </c>
      <c r="E4" s="9">
        <v>32</v>
      </c>
      <c r="F4" s="5">
        <v>3.456</v>
      </c>
      <c r="G4" s="5">
        <v>0.19439999999999999</v>
      </c>
      <c r="H4" s="6" t="str">
        <f t="shared" ref="H4:H35" si="0">IF(0.05&gt;G4,"*"," ")</f>
        <v xml:space="preserve"> </v>
      </c>
      <c r="I4" s="5"/>
      <c r="J4" s="9"/>
      <c r="K4" s="9"/>
      <c r="L4" s="9" t="s">
        <v>6</v>
      </c>
      <c r="M4" s="9">
        <v>1</v>
      </c>
      <c r="N4" s="9">
        <v>29</v>
      </c>
      <c r="O4" s="5">
        <v>8.9999999999999993E-3</v>
      </c>
      <c r="P4" s="5">
        <v>0.94841772199999996</v>
      </c>
      <c r="Q4" s="6" t="str">
        <f t="shared" ref="Q4:Q35" si="1">IF(0.05&gt;P4,"*"," ")</f>
        <v xml:space="preserve"> </v>
      </c>
    </row>
    <row r="5" spans="1:17" x14ac:dyDescent="0.25">
      <c r="A5" s="9"/>
      <c r="B5" s="9"/>
      <c r="C5" s="9" t="s">
        <v>7</v>
      </c>
      <c r="D5" s="9">
        <v>1</v>
      </c>
      <c r="E5" s="9">
        <v>32</v>
      </c>
      <c r="F5" s="5">
        <v>3.806</v>
      </c>
      <c r="G5" s="5">
        <v>0.18692307699999999</v>
      </c>
      <c r="H5" s="6" t="str">
        <f t="shared" si="0"/>
        <v xml:space="preserve"> </v>
      </c>
      <c r="I5" s="5"/>
      <c r="J5" s="9"/>
      <c r="K5" s="9"/>
      <c r="L5" s="9" t="s">
        <v>7</v>
      </c>
      <c r="M5" s="9">
        <v>1</v>
      </c>
      <c r="N5" s="9">
        <v>29</v>
      </c>
      <c r="O5" s="5">
        <v>0.39800000000000002</v>
      </c>
      <c r="P5" s="5">
        <v>0.74575862100000001</v>
      </c>
      <c r="Q5" s="6" t="str">
        <f t="shared" si="1"/>
        <v xml:space="preserve"> </v>
      </c>
    </row>
    <row r="6" spans="1:17" x14ac:dyDescent="0.25">
      <c r="A6" s="9" t="s">
        <v>8</v>
      </c>
      <c r="B6" s="9" t="s">
        <v>12</v>
      </c>
      <c r="C6" s="9" t="s">
        <v>5</v>
      </c>
      <c r="D6" s="9">
        <v>1</v>
      </c>
      <c r="E6" s="9">
        <v>32</v>
      </c>
      <c r="F6" s="5">
        <v>8.8940000000000001</v>
      </c>
      <c r="G6" s="5">
        <v>0.63391304299999995</v>
      </c>
      <c r="H6" s="6" t="str">
        <f t="shared" si="0"/>
        <v xml:space="preserve"> </v>
      </c>
      <c r="I6" s="5"/>
      <c r="J6" s="9" t="s">
        <v>9</v>
      </c>
      <c r="K6" s="9" t="s">
        <v>12</v>
      </c>
      <c r="L6" s="9" t="s">
        <v>5</v>
      </c>
      <c r="M6" s="9">
        <v>1</v>
      </c>
      <c r="N6" s="9">
        <v>26</v>
      </c>
      <c r="O6" s="5">
        <v>0.23300000000000001</v>
      </c>
      <c r="P6" s="5">
        <v>0.80003076900000003</v>
      </c>
      <c r="Q6" s="6" t="str">
        <f t="shared" si="1"/>
        <v xml:space="preserve"> </v>
      </c>
    </row>
    <row r="7" spans="1:17" x14ac:dyDescent="0.25">
      <c r="A7" s="9"/>
      <c r="B7" s="9"/>
      <c r="C7" s="9" t="s">
        <v>6</v>
      </c>
      <c r="D7" s="9">
        <v>1</v>
      </c>
      <c r="E7" s="9">
        <v>32</v>
      </c>
      <c r="F7" s="5">
        <v>0.86099999999999999</v>
      </c>
      <c r="G7" s="5">
        <v>0.74575862100000001</v>
      </c>
      <c r="H7" s="6" t="str">
        <f t="shared" si="0"/>
        <v xml:space="preserve"> </v>
      </c>
      <c r="I7" s="5"/>
      <c r="J7" s="9"/>
      <c r="K7" s="9"/>
      <c r="L7" s="9" t="s">
        <v>6</v>
      </c>
      <c r="M7" s="9">
        <v>1</v>
      </c>
      <c r="N7" s="9">
        <v>26</v>
      </c>
      <c r="O7" s="5">
        <v>3.0150000000000001</v>
      </c>
      <c r="P7" s="5">
        <v>0.23072727300000001</v>
      </c>
      <c r="Q7" s="6" t="str">
        <f t="shared" si="1"/>
        <v xml:space="preserve"> </v>
      </c>
    </row>
    <row r="8" spans="1:17" x14ac:dyDescent="0.25">
      <c r="A8" s="9"/>
      <c r="B8" s="9"/>
      <c r="C8" s="9" t="s">
        <v>7</v>
      </c>
      <c r="D8" s="9">
        <v>1</v>
      </c>
      <c r="E8" s="9">
        <v>32</v>
      </c>
      <c r="F8" s="5">
        <v>0.39400000000000002</v>
      </c>
      <c r="G8" s="5">
        <v>0.58140000000000003</v>
      </c>
      <c r="H8" s="6" t="str">
        <f t="shared" si="0"/>
        <v xml:space="preserve"> </v>
      </c>
      <c r="I8" s="5"/>
      <c r="J8" s="9"/>
      <c r="K8" s="9"/>
      <c r="L8" s="9" t="s">
        <v>7</v>
      </c>
      <c r="M8" s="9">
        <v>1</v>
      </c>
      <c r="N8" s="9">
        <v>26</v>
      </c>
      <c r="O8" s="5">
        <v>27.852</v>
      </c>
      <c r="P8" s="5">
        <v>1.1096999999999999E-3</v>
      </c>
      <c r="Q8" s="6" t="str">
        <f t="shared" si="1"/>
        <v>*</v>
      </c>
    </row>
    <row r="9" spans="1:17" x14ac:dyDescent="0.25">
      <c r="A9" s="9" t="s">
        <v>8</v>
      </c>
      <c r="B9" s="9" t="s">
        <v>13</v>
      </c>
      <c r="C9" s="9" t="s">
        <v>5</v>
      </c>
      <c r="D9" s="9">
        <v>1</v>
      </c>
      <c r="E9" s="9">
        <v>27</v>
      </c>
      <c r="F9" s="5">
        <v>3.4000000000000002E-2</v>
      </c>
      <c r="G9" s="5">
        <v>0.93096000000000001</v>
      </c>
      <c r="H9" s="6" t="str">
        <f t="shared" si="0"/>
        <v xml:space="preserve"> </v>
      </c>
      <c r="I9" s="5"/>
      <c r="J9" s="9" t="s">
        <v>9</v>
      </c>
      <c r="K9" s="9" t="s">
        <v>13</v>
      </c>
      <c r="L9" s="9" t="s">
        <v>5</v>
      </c>
      <c r="M9" s="9">
        <v>1</v>
      </c>
      <c r="N9" s="9">
        <v>27</v>
      </c>
      <c r="O9" s="5">
        <v>1.0129999999999999</v>
      </c>
      <c r="P9" s="5">
        <v>0.58140000000000003</v>
      </c>
      <c r="Q9" s="6" t="str">
        <f t="shared" si="1"/>
        <v xml:space="preserve"> </v>
      </c>
    </row>
    <row r="10" spans="1:17" x14ac:dyDescent="0.25">
      <c r="A10" s="9"/>
      <c r="B10" s="9"/>
      <c r="C10" s="9" t="s">
        <v>6</v>
      </c>
      <c r="D10" s="9">
        <v>1</v>
      </c>
      <c r="E10" s="9">
        <v>27</v>
      </c>
      <c r="F10" s="5">
        <v>6.9790000000000001</v>
      </c>
      <c r="G10" s="5">
        <v>5.7857143E-2</v>
      </c>
      <c r="H10" s="6" t="str">
        <f t="shared" si="0"/>
        <v xml:space="preserve"> </v>
      </c>
      <c r="I10" s="5"/>
      <c r="J10" s="9"/>
      <c r="K10" s="9"/>
      <c r="L10" s="9" t="s">
        <v>6</v>
      </c>
      <c r="M10" s="9">
        <v>1</v>
      </c>
      <c r="N10" s="9">
        <v>27</v>
      </c>
      <c r="O10" s="5">
        <v>11.541</v>
      </c>
      <c r="P10" s="5">
        <v>1.4727273000000001E-2</v>
      </c>
      <c r="Q10" s="6" t="str">
        <f t="shared" si="1"/>
        <v>*</v>
      </c>
    </row>
    <row r="11" spans="1:17" x14ac:dyDescent="0.25">
      <c r="A11" s="9"/>
      <c r="B11" s="9"/>
      <c r="C11" s="9" t="s">
        <v>7</v>
      </c>
      <c r="D11" s="9">
        <v>1</v>
      </c>
      <c r="E11" s="9">
        <v>27</v>
      </c>
      <c r="F11" s="5">
        <v>3.1E-2</v>
      </c>
      <c r="G11" s="5">
        <v>0.93096000000000001</v>
      </c>
      <c r="H11" s="6" t="str">
        <f t="shared" si="0"/>
        <v xml:space="preserve"> </v>
      </c>
      <c r="I11" s="5"/>
      <c r="J11" s="9"/>
      <c r="K11" s="9"/>
      <c r="L11" s="9" t="s">
        <v>7</v>
      </c>
      <c r="M11" s="9">
        <v>1</v>
      </c>
      <c r="N11" s="9">
        <v>27</v>
      </c>
      <c r="O11" s="5">
        <v>17.681000000000001</v>
      </c>
      <c r="P11" s="5">
        <v>3.4694999999999999E-3</v>
      </c>
      <c r="Q11" s="6" t="str">
        <f t="shared" si="1"/>
        <v>*</v>
      </c>
    </row>
    <row r="12" spans="1:17" x14ac:dyDescent="0.25">
      <c r="A12" s="9" t="s">
        <v>8</v>
      </c>
      <c r="B12" s="9" t="s">
        <v>15</v>
      </c>
      <c r="C12" s="9" t="s">
        <v>5</v>
      </c>
      <c r="D12" s="9">
        <v>1</v>
      </c>
      <c r="E12" s="9">
        <v>29</v>
      </c>
      <c r="F12" s="5">
        <v>16.28</v>
      </c>
      <c r="G12" s="5">
        <v>4.2119999999999996E-3</v>
      </c>
      <c r="H12" s="6" t="str">
        <f t="shared" si="0"/>
        <v>*</v>
      </c>
      <c r="I12" s="5"/>
      <c r="J12" s="9" t="s">
        <v>9</v>
      </c>
      <c r="K12" s="9" t="s">
        <v>15</v>
      </c>
      <c r="L12" s="9" t="s">
        <v>5</v>
      </c>
      <c r="M12" s="9">
        <v>1</v>
      </c>
      <c r="N12" s="9">
        <v>32</v>
      </c>
      <c r="O12" s="5">
        <v>0.69499999999999995</v>
      </c>
      <c r="P12" s="5">
        <v>0.67940816299999995</v>
      </c>
      <c r="Q12" s="6" t="str">
        <f t="shared" si="1"/>
        <v xml:space="preserve"> </v>
      </c>
    </row>
    <row r="13" spans="1:17" x14ac:dyDescent="0.25">
      <c r="A13" s="9"/>
      <c r="B13" s="9"/>
      <c r="C13" s="9" t="s">
        <v>6</v>
      </c>
      <c r="D13" s="9">
        <v>1</v>
      </c>
      <c r="E13" s="9">
        <v>29</v>
      </c>
      <c r="F13" s="5">
        <v>8.0630000000000006</v>
      </c>
      <c r="G13" s="5">
        <v>3.5999999999999997E-2</v>
      </c>
      <c r="H13" s="6" t="str">
        <f t="shared" si="0"/>
        <v>*</v>
      </c>
      <c r="I13" s="5"/>
      <c r="J13" s="9"/>
      <c r="K13" s="9"/>
      <c r="L13" s="9" t="s">
        <v>6</v>
      </c>
      <c r="M13" s="9">
        <v>1</v>
      </c>
      <c r="N13" s="9">
        <v>32</v>
      </c>
      <c r="O13" s="5">
        <v>20.111999999999998</v>
      </c>
      <c r="P13" s="5">
        <v>2.3814000000000001E-3</v>
      </c>
      <c r="Q13" s="6" t="str">
        <f t="shared" si="1"/>
        <v>*</v>
      </c>
    </row>
    <row r="14" spans="1:17" x14ac:dyDescent="0.25">
      <c r="A14" s="9"/>
      <c r="B14" s="9"/>
      <c r="C14" s="9" t="s">
        <v>7</v>
      </c>
      <c r="D14" s="9">
        <v>1</v>
      </c>
      <c r="E14" s="9">
        <v>29</v>
      </c>
      <c r="F14" s="5">
        <v>0.71599999999999997</v>
      </c>
      <c r="G14" s="5">
        <v>0.67940816299999995</v>
      </c>
      <c r="H14" s="6" t="str">
        <f t="shared" si="0"/>
        <v xml:space="preserve"> </v>
      </c>
      <c r="I14" s="5"/>
      <c r="J14" s="9"/>
      <c r="K14" s="9"/>
      <c r="L14" s="9" t="s">
        <v>7</v>
      </c>
      <c r="M14" s="9">
        <v>1</v>
      </c>
      <c r="N14" s="9">
        <v>32</v>
      </c>
      <c r="O14" s="5">
        <v>3.9329999999999998</v>
      </c>
      <c r="P14" s="5">
        <v>0.18143999999999999</v>
      </c>
      <c r="Q14" s="6" t="str">
        <f t="shared" si="1"/>
        <v xml:space="preserve"> </v>
      </c>
    </row>
    <row r="15" spans="1:17" x14ac:dyDescent="0.25">
      <c r="A15" s="9" t="s">
        <v>8</v>
      </c>
      <c r="B15" s="9" t="s">
        <v>14</v>
      </c>
      <c r="C15" s="9" t="s">
        <v>5</v>
      </c>
      <c r="D15" s="9">
        <v>1</v>
      </c>
      <c r="E15" s="9">
        <v>29</v>
      </c>
      <c r="F15" s="5">
        <v>0.22600000000000001</v>
      </c>
      <c r="G15" s="5">
        <v>0.80003076900000003</v>
      </c>
      <c r="H15" s="6" t="str">
        <f t="shared" si="0"/>
        <v xml:space="preserve"> </v>
      </c>
      <c r="I15" s="5"/>
      <c r="J15" s="9" t="s">
        <v>9</v>
      </c>
      <c r="K15" s="9" t="s">
        <v>14</v>
      </c>
      <c r="L15" s="9" t="s">
        <v>5</v>
      </c>
      <c r="M15" s="9">
        <v>1</v>
      </c>
      <c r="N15" s="9">
        <v>32</v>
      </c>
      <c r="O15" s="5">
        <v>8.7629999999999999</v>
      </c>
      <c r="P15" s="5">
        <v>3.0374999999999999E-2</v>
      </c>
      <c r="Q15" s="6" t="str">
        <f t="shared" si="1"/>
        <v>*</v>
      </c>
    </row>
    <row r="16" spans="1:17" x14ac:dyDescent="0.25">
      <c r="A16" s="9"/>
      <c r="B16" s="9"/>
      <c r="C16" s="9" t="s">
        <v>6</v>
      </c>
      <c r="D16" s="9">
        <v>1</v>
      </c>
      <c r="E16" s="9">
        <v>29</v>
      </c>
      <c r="F16" s="5">
        <v>0.22</v>
      </c>
      <c r="G16" s="5">
        <v>0.80003076900000003</v>
      </c>
      <c r="H16" s="6" t="str">
        <f t="shared" si="0"/>
        <v xml:space="preserve"> </v>
      </c>
      <c r="I16" s="5"/>
      <c r="J16" s="9"/>
      <c r="K16" s="9"/>
      <c r="L16" s="9" t="s">
        <v>6</v>
      </c>
      <c r="M16" s="9">
        <v>1</v>
      </c>
      <c r="N16" s="9">
        <v>32</v>
      </c>
      <c r="O16" s="5">
        <v>23.911000000000001</v>
      </c>
      <c r="P16" s="5">
        <v>1.1096999999999999E-3</v>
      </c>
      <c r="Q16" s="6" t="str">
        <f t="shared" si="1"/>
        <v>*</v>
      </c>
    </row>
    <row r="17" spans="1:17" x14ac:dyDescent="0.25">
      <c r="A17" s="9"/>
      <c r="B17" s="9"/>
      <c r="C17" s="9" t="s">
        <v>7</v>
      </c>
      <c r="D17" s="9">
        <v>1</v>
      </c>
      <c r="E17" s="9">
        <v>29</v>
      </c>
      <c r="F17" s="5">
        <v>2.5000000000000001E-2</v>
      </c>
      <c r="G17" s="5">
        <v>0.93256578899999998</v>
      </c>
      <c r="H17" s="6" t="str">
        <f t="shared" si="0"/>
        <v xml:space="preserve"> </v>
      </c>
      <c r="I17" s="5"/>
      <c r="J17" s="9"/>
      <c r="K17" s="9"/>
      <c r="L17" s="9" t="s">
        <v>7</v>
      </c>
      <c r="M17" s="9">
        <v>1</v>
      </c>
      <c r="N17" s="9">
        <v>32</v>
      </c>
      <c r="O17" s="5">
        <v>17.577000000000002</v>
      </c>
      <c r="P17" s="5">
        <v>3.2886E-3</v>
      </c>
      <c r="Q17" s="6" t="str">
        <f t="shared" si="1"/>
        <v>*</v>
      </c>
    </row>
    <row r="18" spans="1:17" x14ac:dyDescent="0.25">
      <c r="A18" s="9" t="s">
        <v>8</v>
      </c>
      <c r="B18" s="9" t="s">
        <v>16</v>
      </c>
      <c r="C18" s="9" t="s">
        <v>5</v>
      </c>
      <c r="D18" s="9">
        <v>1</v>
      </c>
      <c r="E18" s="9">
        <v>31</v>
      </c>
      <c r="F18" s="5">
        <v>11.212</v>
      </c>
      <c r="G18" s="5">
        <v>1.4727273000000001E-2</v>
      </c>
      <c r="H18" s="6" t="str">
        <f t="shared" si="0"/>
        <v>*</v>
      </c>
      <c r="I18" s="5"/>
      <c r="J18" s="9" t="s">
        <v>9</v>
      </c>
      <c r="K18" s="9" t="s">
        <v>16</v>
      </c>
      <c r="L18" s="9" t="s">
        <v>5</v>
      </c>
      <c r="M18" s="9">
        <v>1</v>
      </c>
      <c r="N18" s="9">
        <v>30</v>
      </c>
      <c r="O18" s="5">
        <v>19.341999999999999</v>
      </c>
      <c r="P18" s="5">
        <v>2.5717499999999998E-3</v>
      </c>
      <c r="Q18" s="6" t="str">
        <f t="shared" si="1"/>
        <v>*</v>
      </c>
    </row>
    <row r="19" spans="1:17" x14ac:dyDescent="0.25">
      <c r="A19" s="9"/>
      <c r="B19" s="9"/>
      <c r="C19" s="9" t="s">
        <v>6</v>
      </c>
      <c r="D19" s="9">
        <v>1</v>
      </c>
      <c r="E19" s="9">
        <v>31</v>
      </c>
      <c r="F19" s="5">
        <v>1.6850000000000001</v>
      </c>
      <c r="G19" s="5">
        <v>0.44659459499999998</v>
      </c>
      <c r="H19" s="6" t="str">
        <f t="shared" si="0"/>
        <v xml:space="preserve"> </v>
      </c>
      <c r="I19" s="5"/>
      <c r="J19" s="9"/>
      <c r="K19" s="9"/>
      <c r="L19" s="9" t="s">
        <v>6</v>
      </c>
      <c r="M19" s="9">
        <v>1</v>
      </c>
      <c r="N19" s="9">
        <v>30</v>
      </c>
      <c r="O19" s="5">
        <v>10.865</v>
      </c>
      <c r="P19" s="5">
        <v>2.0250000000000001E-2</v>
      </c>
      <c r="Q19" s="6" t="str">
        <f t="shared" si="1"/>
        <v>*</v>
      </c>
    </row>
    <row r="20" spans="1:17" x14ac:dyDescent="0.25">
      <c r="A20" s="9"/>
      <c r="B20" s="9"/>
      <c r="C20" s="9" t="s">
        <v>7</v>
      </c>
      <c r="D20" s="9">
        <v>1</v>
      </c>
      <c r="E20" s="9">
        <v>31</v>
      </c>
      <c r="F20" s="5">
        <v>0.61799999999999999</v>
      </c>
      <c r="G20" s="5">
        <v>0.6885</v>
      </c>
      <c r="H20" s="6" t="str">
        <f t="shared" si="0"/>
        <v xml:space="preserve"> </v>
      </c>
      <c r="I20" s="5"/>
      <c r="J20" s="9"/>
      <c r="K20" s="9"/>
      <c r="L20" s="9" t="s">
        <v>7</v>
      </c>
      <c r="M20" s="9">
        <v>1</v>
      </c>
      <c r="N20" s="9">
        <v>30</v>
      </c>
      <c r="O20" s="5">
        <v>8.9559999999999995</v>
      </c>
      <c r="P20" s="5">
        <v>2.7E-2</v>
      </c>
      <c r="Q20" s="6" t="str">
        <f t="shared" si="1"/>
        <v>*</v>
      </c>
    </row>
    <row r="21" spans="1:17" x14ac:dyDescent="0.25">
      <c r="A21" s="9" t="s">
        <v>8</v>
      </c>
      <c r="B21" s="9" t="s">
        <v>17</v>
      </c>
      <c r="C21" s="9" t="s">
        <v>5</v>
      </c>
      <c r="D21" s="9">
        <v>1</v>
      </c>
      <c r="E21" s="9">
        <v>32</v>
      </c>
      <c r="F21" s="5">
        <v>0.61699999999999999</v>
      </c>
      <c r="G21" s="5">
        <v>0.6885</v>
      </c>
      <c r="H21" s="6" t="str">
        <f t="shared" si="0"/>
        <v xml:space="preserve"> </v>
      </c>
      <c r="I21" s="5"/>
      <c r="J21" s="9" t="s">
        <v>9</v>
      </c>
      <c r="K21" s="9" t="s">
        <v>17</v>
      </c>
      <c r="L21" s="9" t="s">
        <v>5</v>
      </c>
      <c r="M21" s="9">
        <v>1</v>
      </c>
      <c r="N21" s="9">
        <v>25</v>
      </c>
      <c r="O21" s="5">
        <v>0.441</v>
      </c>
      <c r="P21" s="5">
        <v>0.74575862100000001</v>
      </c>
      <c r="Q21" s="6" t="str">
        <f t="shared" si="1"/>
        <v xml:space="preserve"> </v>
      </c>
    </row>
    <row r="22" spans="1:17" x14ac:dyDescent="0.25">
      <c r="A22" s="9"/>
      <c r="B22" s="9"/>
      <c r="C22" s="9" t="s">
        <v>6</v>
      </c>
      <c r="D22" s="9">
        <v>1</v>
      </c>
      <c r="E22" s="9">
        <v>32</v>
      </c>
      <c r="F22" s="5">
        <v>0.70499999999999996</v>
      </c>
      <c r="G22" s="5">
        <v>0.67940816299999995</v>
      </c>
      <c r="H22" s="6" t="str">
        <f t="shared" si="0"/>
        <v xml:space="preserve"> </v>
      </c>
      <c r="I22" s="5"/>
      <c r="J22" s="9"/>
      <c r="K22" s="9"/>
      <c r="L22" s="9" t="s">
        <v>6</v>
      </c>
      <c r="M22" s="9">
        <v>1</v>
      </c>
      <c r="N22" s="9">
        <v>25</v>
      </c>
      <c r="O22" s="5">
        <v>0.28599999999999998</v>
      </c>
      <c r="P22" s="5">
        <v>0.794065574</v>
      </c>
      <c r="Q22" s="6" t="str">
        <f t="shared" si="1"/>
        <v xml:space="preserve"> </v>
      </c>
    </row>
    <row r="23" spans="1:17" x14ac:dyDescent="0.25">
      <c r="A23" s="9"/>
      <c r="B23" s="9"/>
      <c r="C23" s="9" t="s">
        <v>7</v>
      </c>
      <c r="D23" s="9">
        <v>1</v>
      </c>
      <c r="E23" s="9">
        <v>32</v>
      </c>
      <c r="F23" s="5">
        <v>6.0000000000000001E-3</v>
      </c>
      <c r="G23" s="5">
        <v>0.95174999999999998</v>
      </c>
      <c r="H23" s="6" t="str">
        <f t="shared" si="0"/>
        <v xml:space="preserve"> </v>
      </c>
      <c r="I23" s="5"/>
      <c r="J23" s="9"/>
      <c r="K23" s="9"/>
      <c r="L23" s="9" t="s">
        <v>7</v>
      </c>
      <c r="M23" s="9">
        <v>1</v>
      </c>
      <c r="N23" s="9">
        <v>25</v>
      </c>
      <c r="O23" s="5">
        <v>0.318</v>
      </c>
      <c r="P23" s="5">
        <v>0.78164999999999996</v>
      </c>
      <c r="Q23" s="6" t="str">
        <f t="shared" si="1"/>
        <v xml:space="preserve"> </v>
      </c>
    </row>
    <row r="24" spans="1:17" x14ac:dyDescent="0.25">
      <c r="A24" s="9" t="s">
        <v>8</v>
      </c>
      <c r="B24" s="9" t="s">
        <v>18</v>
      </c>
      <c r="C24" s="9" t="s">
        <v>5</v>
      </c>
      <c r="D24" s="9">
        <v>1</v>
      </c>
      <c r="E24" s="9">
        <v>30</v>
      </c>
      <c r="F24" s="5">
        <v>3.468</v>
      </c>
      <c r="G24" s="5">
        <v>0.19439999999999999</v>
      </c>
      <c r="H24" s="6" t="str">
        <f t="shared" si="0"/>
        <v xml:space="preserve"> </v>
      </c>
      <c r="I24" s="5"/>
      <c r="J24" s="9" t="s">
        <v>9</v>
      </c>
      <c r="K24" s="9" t="s">
        <v>18</v>
      </c>
      <c r="L24" s="9" t="s">
        <v>5</v>
      </c>
      <c r="M24" s="9">
        <v>1</v>
      </c>
      <c r="N24" s="9">
        <v>30</v>
      </c>
      <c r="O24" s="5">
        <v>9.4559999999999995</v>
      </c>
      <c r="P24" s="5">
        <v>2.4923076999999998E-2</v>
      </c>
      <c r="Q24" s="6" t="str">
        <f t="shared" si="1"/>
        <v>*</v>
      </c>
    </row>
    <row r="25" spans="1:17" x14ac:dyDescent="0.25">
      <c r="A25" s="9"/>
      <c r="B25" s="9"/>
      <c r="C25" s="9" t="s">
        <v>6</v>
      </c>
      <c r="D25" s="9">
        <v>1</v>
      </c>
      <c r="E25" s="9">
        <v>30</v>
      </c>
      <c r="F25" s="5">
        <v>6.6319999999999997</v>
      </c>
      <c r="G25" s="5">
        <v>5.7857143E-2</v>
      </c>
      <c r="H25" s="6" t="str">
        <f t="shared" si="0"/>
        <v xml:space="preserve"> </v>
      </c>
      <c r="I25" s="5"/>
      <c r="J25" s="9"/>
      <c r="K25" s="9"/>
      <c r="L25" s="9" t="s">
        <v>6</v>
      </c>
      <c r="M25" s="9">
        <v>1</v>
      </c>
      <c r="N25" s="9">
        <v>30</v>
      </c>
      <c r="O25" s="5">
        <v>2.8039999999999998</v>
      </c>
      <c r="P25" s="5">
        <v>0.247764706</v>
      </c>
      <c r="Q25" s="6" t="str">
        <f t="shared" si="1"/>
        <v xml:space="preserve"> </v>
      </c>
    </row>
    <row r="26" spans="1:17" x14ac:dyDescent="0.25">
      <c r="A26" s="9"/>
      <c r="B26" s="9"/>
      <c r="C26" s="9" t="s">
        <v>7</v>
      </c>
      <c r="D26" s="9">
        <v>1</v>
      </c>
      <c r="E26" s="9">
        <v>30</v>
      </c>
      <c r="F26" s="5">
        <v>0.01</v>
      </c>
      <c r="G26" s="5">
        <v>0.94841772199999996</v>
      </c>
      <c r="H26" s="6" t="str">
        <f t="shared" si="0"/>
        <v xml:space="preserve"> </v>
      </c>
      <c r="I26" s="5"/>
      <c r="J26" s="9"/>
      <c r="K26" s="9"/>
      <c r="L26" s="9" t="s">
        <v>7</v>
      </c>
      <c r="M26" s="9">
        <v>1</v>
      </c>
      <c r="N26" s="9">
        <v>30</v>
      </c>
      <c r="O26" s="5">
        <v>3.5000000000000003E-2</v>
      </c>
      <c r="P26" s="5">
        <v>0.93096000000000001</v>
      </c>
      <c r="Q26" s="6" t="str">
        <f t="shared" si="1"/>
        <v xml:space="preserve"> </v>
      </c>
    </row>
    <row r="27" spans="1:17" x14ac:dyDescent="0.25">
      <c r="A27" s="9" t="s">
        <v>8</v>
      </c>
      <c r="B27" s="9" t="s">
        <v>19</v>
      </c>
      <c r="C27" s="9" t="s">
        <v>5</v>
      </c>
      <c r="D27" s="9">
        <v>1</v>
      </c>
      <c r="E27" s="9">
        <v>32</v>
      </c>
      <c r="F27" s="5">
        <v>1.1910000000000001</v>
      </c>
      <c r="G27" s="5">
        <v>0.53754545499999995</v>
      </c>
      <c r="H27" s="6" t="str">
        <f t="shared" si="0"/>
        <v xml:space="preserve"> </v>
      </c>
      <c r="I27" s="5"/>
      <c r="J27" s="9" t="s">
        <v>9</v>
      </c>
      <c r="K27" s="9" t="s">
        <v>19</v>
      </c>
      <c r="L27" s="9" t="s">
        <v>5</v>
      </c>
      <c r="M27" s="9">
        <v>1</v>
      </c>
      <c r="N27" s="9">
        <v>31</v>
      </c>
      <c r="O27" s="5">
        <v>1.421</v>
      </c>
      <c r="P27" s="5">
        <v>0.51584210500000005</v>
      </c>
      <c r="Q27" s="6" t="str">
        <f t="shared" si="1"/>
        <v xml:space="preserve"> </v>
      </c>
    </row>
    <row r="28" spans="1:17" x14ac:dyDescent="0.25">
      <c r="A28" s="9"/>
      <c r="B28" s="9"/>
      <c r="C28" s="9" t="s">
        <v>6</v>
      </c>
      <c r="D28" s="9">
        <v>1</v>
      </c>
      <c r="E28" s="9">
        <v>32</v>
      </c>
      <c r="F28" s="5">
        <v>0.57899999999999996</v>
      </c>
      <c r="G28" s="5">
        <v>0.69079245300000003</v>
      </c>
      <c r="H28" s="6" t="str">
        <f t="shared" si="0"/>
        <v xml:space="preserve"> </v>
      </c>
      <c r="I28" s="5"/>
      <c r="J28" s="9"/>
      <c r="K28" s="9"/>
      <c r="L28" s="9" t="s">
        <v>6</v>
      </c>
      <c r="M28" s="9">
        <v>1</v>
      </c>
      <c r="N28" s="9">
        <v>31</v>
      </c>
      <c r="O28" s="5">
        <v>1.2310000000000001</v>
      </c>
      <c r="P28" s="5">
        <v>0.53754545499999995</v>
      </c>
      <c r="Q28" s="6" t="str">
        <f t="shared" si="1"/>
        <v xml:space="preserve"> </v>
      </c>
    </row>
    <row r="29" spans="1:17" x14ac:dyDescent="0.25">
      <c r="A29" s="9"/>
      <c r="B29" s="9"/>
      <c r="C29" s="9" t="s">
        <v>7</v>
      </c>
      <c r="D29" s="9">
        <v>1</v>
      </c>
      <c r="E29" s="9">
        <v>32</v>
      </c>
      <c r="F29" s="5">
        <v>0.126</v>
      </c>
      <c r="G29" s="5">
        <v>0.86360294100000001</v>
      </c>
      <c r="H29" s="6" t="str">
        <f t="shared" si="0"/>
        <v xml:space="preserve"> </v>
      </c>
      <c r="I29" s="5"/>
      <c r="J29" s="9"/>
      <c r="K29" s="9"/>
      <c r="L29" s="9" t="s">
        <v>7</v>
      </c>
      <c r="M29" s="9">
        <v>1</v>
      </c>
      <c r="N29" s="9">
        <v>31</v>
      </c>
      <c r="O29" s="5">
        <v>1.2989999999999999</v>
      </c>
      <c r="P29" s="5">
        <v>0.53754545499999995</v>
      </c>
      <c r="Q29" s="6" t="str">
        <f t="shared" si="1"/>
        <v xml:space="preserve"> </v>
      </c>
    </row>
    <row r="30" spans="1:17" x14ac:dyDescent="0.25">
      <c r="A30" s="9" t="s">
        <v>8</v>
      </c>
      <c r="B30" s="9" t="s">
        <v>20</v>
      </c>
      <c r="C30" s="9" t="s">
        <v>5</v>
      </c>
      <c r="D30" s="9">
        <v>1</v>
      </c>
      <c r="E30" s="9">
        <v>31</v>
      </c>
      <c r="F30" s="5">
        <v>5.5439999999999996</v>
      </c>
      <c r="G30" s="5">
        <v>8.8043477999999994E-2</v>
      </c>
      <c r="H30" s="6" t="str">
        <f t="shared" si="0"/>
        <v xml:space="preserve"> </v>
      </c>
      <c r="I30" s="5"/>
      <c r="J30" s="9" t="s">
        <v>9</v>
      </c>
      <c r="K30" s="9" t="s">
        <v>20</v>
      </c>
      <c r="L30" s="9" t="s">
        <v>5</v>
      </c>
      <c r="M30" s="9">
        <v>1</v>
      </c>
      <c r="N30" s="9">
        <v>31</v>
      </c>
      <c r="O30" s="5">
        <v>4.5999999999999999E-2</v>
      </c>
      <c r="P30" s="5">
        <v>0.93096000000000001</v>
      </c>
      <c r="Q30" s="6" t="str">
        <f t="shared" si="1"/>
        <v xml:space="preserve"> </v>
      </c>
    </row>
    <row r="31" spans="1:17" x14ac:dyDescent="0.25">
      <c r="A31" s="9"/>
      <c r="B31" s="9"/>
      <c r="C31" s="9" t="s">
        <v>6</v>
      </c>
      <c r="D31" s="9">
        <v>1</v>
      </c>
      <c r="E31" s="9">
        <v>31</v>
      </c>
      <c r="F31" s="5">
        <v>0.01</v>
      </c>
      <c r="G31" s="5">
        <v>0.94841772199999996</v>
      </c>
      <c r="H31" s="6" t="str">
        <f t="shared" si="0"/>
        <v xml:space="preserve"> </v>
      </c>
      <c r="I31" s="5"/>
      <c r="J31" s="9"/>
      <c r="K31" s="9"/>
      <c r="L31" s="9" t="s">
        <v>6</v>
      </c>
      <c r="M31" s="9">
        <v>1</v>
      </c>
      <c r="N31" s="9">
        <v>31</v>
      </c>
      <c r="O31" s="5">
        <v>3.05</v>
      </c>
      <c r="P31" s="5">
        <v>0.23034375000000001</v>
      </c>
      <c r="Q31" s="6" t="str">
        <f t="shared" si="1"/>
        <v xml:space="preserve"> </v>
      </c>
    </row>
    <row r="32" spans="1:17" x14ac:dyDescent="0.25">
      <c r="A32" s="9"/>
      <c r="B32" s="9"/>
      <c r="C32" s="9" t="s">
        <v>7</v>
      </c>
      <c r="D32" s="9">
        <v>1</v>
      </c>
      <c r="E32" s="9">
        <v>31</v>
      </c>
      <c r="F32" s="5">
        <v>2E-3</v>
      </c>
      <c r="G32" s="5">
        <v>0.96599999999999997</v>
      </c>
      <c r="H32" s="6" t="str">
        <f t="shared" si="0"/>
        <v xml:space="preserve"> </v>
      </c>
      <c r="I32" s="5"/>
      <c r="J32" s="9"/>
      <c r="K32" s="9"/>
      <c r="L32" s="9" t="s">
        <v>7</v>
      </c>
      <c r="M32" s="9">
        <v>1</v>
      </c>
      <c r="N32" s="9">
        <v>31</v>
      </c>
      <c r="O32" s="5">
        <v>5.0999999999999997E-2</v>
      </c>
      <c r="P32" s="5">
        <v>0.93096000000000001</v>
      </c>
      <c r="Q32" s="6" t="str">
        <f t="shared" si="1"/>
        <v xml:space="preserve"> </v>
      </c>
    </row>
    <row r="33" spans="1:17" x14ac:dyDescent="0.25">
      <c r="A33" s="9" t="s">
        <v>8</v>
      </c>
      <c r="B33" s="9" t="s">
        <v>21</v>
      </c>
      <c r="C33" s="9" t="s">
        <v>5</v>
      </c>
      <c r="D33" s="9">
        <v>1</v>
      </c>
      <c r="E33" s="9">
        <v>29</v>
      </c>
      <c r="F33" s="5">
        <v>14.372</v>
      </c>
      <c r="G33" s="5">
        <v>6.3270000000000002E-3</v>
      </c>
      <c r="H33" s="6" t="str">
        <f t="shared" si="0"/>
        <v>*</v>
      </c>
      <c r="I33" s="5"/>
      <c r="J33" s="9" t="s">
        <v>9</v>
      </c>
      <c r="K33" s="9" t="s">
        <v>21</v>
      </c>
      <c r="L33" s="9" t="s">
        <v>5</v>
      </c>
      <c r="M33" s="9">
        <v>1</v>
      </c>
      <c r="N33" s="9">
        <v>31</v>
      </c>
      <c r="O33" s="5">
        <v>0.53</v>
      </c>
      <c r="P33" s="5">
        <v>0.70799999999999996</v>
      </c>
      <c r="Q33" s="6" t="str">
        <f t="shared" si="1"/>
        <v xml:space="preserve"> </v>
      </c>
    </row>
    <row r="34" spans="1:17" x14ac:dyDescent="0.25">
      <c r="A34" s="9"/>
      <c r="B34" s="9"/>
      <c r="C34" s="9" t="s">
        <v>6</v>
      </c>
      <c r="D34" s="9">
        <v>1</v>
      </c>
      <c r="E34" s="9">
        <v>29</v>
      </c>
      <c r="F34" s="5">
        <v>3.585</v>
      </c>
      <c r="G34" s="5">
        <v>0.19439999999999999</v>
      </c>
      <c r="H34" s="6" t="str">
        <f t="shared" si="0"/>
        <v xml:space="preserve"> </v>
      </c>
      <c r="I34" s="5"/>
      <c r="J34" s="9"/>
      <c r="K34" s="9"/>
      <c r="L34" s="9" t="s">
        <v>6</v>
      </c>
      <c r="M34" s="9">
        <v>1</v>
      </c>
      <c r="N34" s="9">
        <v>31</v>
      </c>
      <c r="O34" s="5">
        <v>0.222</v>
      </c>
      <c r="P34" s="5">
        <v>0.80003076900000003</v>
      </c>
      <c r="Q34" s="6" t="str">
        <f t="shared" si="1"/>
        <v xml:space="preserve"> </v>
      </c>
    </row>
    <row r="35" spans="1:17" ht="15.75" thickBot="1" x14ac:dyDescent="0.3">
      <c r="A35" s="10"/>
      <c r="B35" s="10"/>
      <c r="C35" s="10" t="s">
        <v>7</v>
      </c>
      <c r="D35" s="10">
        <v>1</v>
      </c>
      <c r="E35" s="10">
        <v>29</v>
      </c>
      <c r="F35" s="7">
        <v>15.045</v>
      </c>
      <c r="G35" s="7">
        <v>5.6193750000000002E-3</v>
      </c>
      <c r="H35" s="8" t="str">
        <f t="shared" si="0"/>
        <v>*</v>
      </c>
      <c r="I35" s="7"/>
      <c r="J35" s="10"/>
      <c r="K35" s="10"/>
      <c r="L35" s="10" t="s">
        <v>7</v>
      </c>
      <c r="M35" s="10">
        <v>1</v>
      </c>
      <c r="N35" s="10">
        <v>31</v>
      </c>
      <c r="O35" s="7">
        <v>0.39700000000000002</v>
      </c>
      <c r="P35" s="7">
        <v>0.74575862100000001</v>
      </c>
      <c r="Q35" s="8" t="str">
        <f t="shared" si="1"/>
        <v xml:space="preserve"> 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CA899-EFD7-4946-B6E7-350D47962D87}">
  <dimension ref="A1:Q34"/>
  <sheetViews>
    <sheetView tabSelected="1" topLeftCell="A17" workbookViewId="0">
      <selection sqref="A1:Q34"/>
    </sheetView>
  </sheetViews>
  <sheetFormatPr defaultRowHeight="15" x14ac:dyDescent="0.25"/>
  <sheetData>
    <row r="1" spans="1:17" x14ac:dyDescent="0.25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22</v>
      </c>
      <c r="J1" t="s">
        <v>10</v>
      </c>
      <c r="K1" t="s">
        <v>0</v>
      </c>
      <c r="L1" t="s">
        <v>1</v>
      </c>
      <c r="M1" t="s">
        <v>2</v>
      </c>
      <c r="N1" t="s">
        <v>3</v>
      </c>
      <c r="O1" t="s">
        <v>4</v>
      </c>
      <c r="P1" t="s">
        <v>22</v>
      </c>
    </row>
    <row r="2" spans="1:17" x14ac:dyDescent="0.25">
      <c r="A2" t="s">
        <v>8</v>
      </c>
      <c r="B2" t="s">
        <v>11</v>
      </c>
      <c r="C2" t="s">
        <v>5</v>
      </c>
      <c r="D2">
        <v>1</v>
      </c>
      <c r="E2">
        <v>32</v>
      </c>
      <c r="F2">
        <v>9.9000000000000005E-2</v>
      </c>
      <c r="G2">
        <v>0.87364285699999999</v>
      </c>
      <c r="H2" t="s">
        <v>23</v>
      </c>
      <c r="J2" t="s">
        <v>9</v>
      </c>
      <c r="K2" t="s">
        <v>11</v>
      </c>
      <c r="L2" t="s">
        <v>5</v>
      </c>
      <c r="M2">
        <v>1</v>
      </c>
      <c r="N2">
        <v>29</v>
      </c>
      <c r="O2">
        <v>6.6340000000000003</v>
      </c>
      <c r="P2">
        <v>5.7857143E-2</v>
      </c>
      <c r="Q2" t="s">
        <v>23</v>
      </c>
    </row>
    <row r="3" spans="1:17" x14ac:dyDescent="0.25">
      <c r="C3" t="s">
        <v>6</v>
      </c>
      <c r="D3">
        <v>1</v>
      </c>
      <c r="E3">
        <v>32</v>
      </c>
      <c r="F3">
        <v>3.456</v>
      </c>
      <c r="G3">
        <v>0.19439999999999999</v>
      </c>
      <c r="H3" t="s">
        <v>23</v>
      </c>
      <c r="L3" t="s">
        <v>6</v>
      </c>
      <c r="M3">
        <v>1</v>
      </c>
      <c r="N3">
        <v>29</v>
      </c>
      <c r="O3">
        <v>8.9999999999999993E-3</v>
      </c>
      <c r="P3">
        <v>0.94841772199999996</v>
      </c>
      <c r="Q3" t="s">
        <v>23</v>
      </c>
    </row>
    <row r="4" spans="1:17" x14ac:dyDescent="0.25">
      <c r="C4" t="s">
        <v>7</v>
      </c>
      <c r="D4">
        <v>1</v>
      </c>
      <c r="E4">
        <v>32</v>
      </c>
      <c r="F4">
        <v>3.806</v>
      </c>
      <c r="G4">
        <v>0.18692307699999999</v>
      </c>
      <c r="H4" t="s">
        <v>23</v>
      </c>
      <c r="L4" t="s">
        <v>7</v>
      </c>
      <c r="M4">
        <v>1</v>
      </c>
      <c r="N4">
        <v>29</v>
      </c>
      <c r="O4">
        <v>0.39800000000000002</v>
      </c>
      <c r="P4">
        <v>0.74575862100000001</v>
      </c>
      <c r="Q4" t="s">
        <v>23</v>
      </c>
    </row>
    <row r="5" spans="1:17" x14ac:dyDescent="0.25">
      <c r="A5" t="s">
        <v>8</v>
      </c>
      <c r="B5" t="s">
        <v>12</v>
      </c>
      <c r="C5" t="s">
        <v>5</v>
      </c>
      <c r="D5">
        <v>1</v>
      </c>
      <c r="E5">
        <v>32</v>
      </c>
      <c r="F5">
        <v>8.8940000000000001</v>
      </c>
      <c r="G5">
        <v>0.63391304299999995</v>
      </c>
      <c r="H5" t="s">
        <v>23</v>
      </c>
      <c r="J5" t="s">
        <v>9</v>
      </c>
      <c r="K5" t="s">
        <v>12</v>
      </c>
      <c r="L5" t="s">
        <v>5</v>
      </c>
      <c r="M5">
        <v>1</v>
      </c>
      <c r="N5">
        <v>26</v>
      </c>
      <c r="O5">
        <v>0.23300000000000001</v>
      </c>
      <c r="P5">
        <v>0.80003076900000003</v>
      </c>
      <c r="Q5" t="s">
        <v>23</v>
      </c>
    </row>
    <row r="6" spans="1:17" x14ac:dyDescent="0.25">
      <c r="C6" t="s">
        <v>6</v>
      </c>
      <c r="D6">
        <v>1</v>
      </c>
      <c r="E6">
        <v>32</v>
      </c>
      <c r="F6">
        <v>0.86099999999999999</v>
      </c>
      <c r="G6">
        <v>0.74575862100000001</v>
      </c>
      <c r="H6" t="s">
        <v>23</v>
      </c>
      <c r="L6" t="s">
        <v>6</v>
      </c>
      <c r="M6">
        <v>1</v>
      </c>
      <c r="N6">
        <v>26</v>
      </c>
      <c r="O6">
        <v>3.0150000000000001</v>
      </c>
      <c r="P6">
        <v>0.23072727300000001</v>
      </c>
      <c r="Q6" t="s">
        <v>23</v>
      </c>
    </row>
    <row r="7" spans="1:17" x14ac:dyDescent="0.25">
      <c r="C7" t="s">
        <v>7</v>
      </c>
      <c r="D7">
        <v>1</v>
      </c>
      <c r="E7">
        <v>32</v>
      </c>
      <c r="F7">
        <v>0.39400000000000002</v>
      </c>
      <c r="G7">
        <v>0.58140000000000003</v>
      </c>
      <c r="H7" t="s">
        <v>23</v>
      </c>
      <c r="L7" t="s">
        <v>7</v>
      </c>
      <c r="M7">
        <v>1</v>
      </c>
      <c r="N7">
        <v>26</v>
      </c>
      <c r="O7">
        <v>27.852</v>
      </c>
      <c r="P7">
        <v>1.1096999999999999E-3</v>
      </c>
      <c r="Q7" t="s">
        <v>24</v>
      </c>
    </row>
    <row r="8" spans="1:17" x14ac:dyDescent="0.25">
      <c r="A8" t="s">
        <v>8</v>
      </c>
      <c r="B8" t="s">
        <v>13</v>
      </c>
      <c r="C8" t="s">
        <v>5</v>
      </c>
      <c r="D8">
        <v>1</v>
      </c>
      <c r="E8">
        <v>27</v>
      </c>
      <c r="F8">
        <v>3.4000000000000002E-2</v>
      </c>
      <c r="G8">
        <v>0.93096000000000001</v>
      </c>
      <c r="H8" t="s">
        <v>23</v>
      </c>
      <c r="J8" t="s">
        <v>9</v>
      </c>
      <c r="K8" t="s">
        <v>13</v>
      </c>
      <c r="L8" t="s">
        <v>5</v>
      </c>
      <c r="M8">
        <v>1</v>
      </c>
      <c r="N8">
        <v>27</v>
      </c>
      <c r="O8">
        <v>1.0129999999999999</v>
      </c>
      <c r="P8">
        <v>0.58140000000000003</v>
      </c>
      <c r="Q8" t="s">
        <v>23</v>
      </c>
    </row>
    <row r="9" spans="1:17" x14ac:dyDescent="0.25">
      <c r="C9" t="s">
        <v>6</v>
      </c>
      <c r="D9">
        <v>1</v>
      </c>
      <c r="E9">
        <v>27</v>
      </c>
      <c r="F9">
        <v>6.9790000000000001</v>
      </c>
      <c r="G9">
        <v>5.7857143E-2</v>
      </c>
      <c r="H9" t="s">
        <v>23</v>
      </c>
      <c r="L9" t="s">
        <v>6</v>
      </c>
      <c r="M9">
        <v>1</v>
      </c>
      <c r="N9">
        <v>27</v>
      </c>
      <c r="O9">
        <v>11.541</v>
      </c>
      <c r="P9">
        <v>1.4727273000000001E-2</v>
      </c>
      <c r="Q9" t="s">
        <v>24</v>
      </c>
    </row>
    <row r="10" spans="1:17" x14ac:dyDescent="0.25">
      <c r="C10" t="s">
        <v>7</v>
      </c>
      <c r="D10">
        <v>1</v>
      </c>
      <c r="E10">
        <v>27</v>
      </c>
      <c r="F10">
        <v>3.1E-2</v>
      </c>
      <c r="G10">
        <v>0.93096000000000001</v>
      </c>
      <c r="H10" t="s">
        <v>23</v>
      </c>
      <c r="L10" t="s">
        <v>7</v>
      </c>
      <c r="M10">
        <v>1</v>
      </c>
      <c r="N10">
        <v>27</v>
      </c>
      <c r="O10">
        <v>17.681000000000001</v>
      </c>
      <c r="P10">
        <v>3.4694999999999999E-3</v>
      </c>
      <c r="Q10" t="s">
        <v>24</v>
      </c>
    </row>
    <row r="11" spans="1:17" x14ac:dyDescent="0.25">
      <c r="A11" t="s">
        <v>8</v>
      </c>
      <c r="B11" t="s">
        <v>15</v>
      </c>
      <c r="C11" t="s">
        <v>5</v>
      </c>
      <c r="D11">
        <v>1</v>
      </c>
      <c r="E11">
        <v>29</v>
      </c>
      <c r="F11">
        <v>16.28</v>
      </c>
      <c r="G11">
        <v>4.2119999999999996E-3</v>
      </c>
      <c r="H11" t="s">
        <v>24</v>
      </c>
      <c r="J11" t="s">
        <v>9</v>
      </c>
      <c r="K11" t="s">
        <v>15</v>
      </c>
      <c r="L11" t="s">
        <v>5</v>
      </c>
      <c r="M11">
        <v>1</v>
      </c>
      <c r="N11">
        <v>32</v>
      </c>
      <c r="O11">
        <v>0.69499999999999995</v>
      </c>
      <c r="P11">
        <v>0.67940816299999995</v>
      </c>
      <c r="Q11" t="s">
        <v>23</v>
      </c>
    </row>
    <row r="12" spans="1:17" x14ac:dyDescent="0.25">
      <c r="C12" t="s">
        <v>6</v>
      </c>
      <c r="D12">
        <v>1</v>
      </c>
      <c r="E12">
        <v>29</v>
      </c>
      <c r="F12">
        <v>8.0630000000000006</v>
      </c>
      <c r="G12">
        <v>3.5999999999999997E-2</v>
      </c>
      <c r="H12" t="s">
        <v>24</v>
      </c>
      <c r="L12" t="s">
        <v>6</v>
      </c>
      <c r="M12">
        <v>1</v>
      </c>
      <c r="N12">
        <v>32</v>
      </c>
      <c r="O12">
        <v>20.111999999999998</v>
      </c>
      <c r="P12">
        <v>2.3814000000000001E-3</v>
      </c>
      <c r="Q12" t="s">
        <v>24</v>
      </c>
    </row>
    <row r="13" spans="1:17" x14ac:dyDescent="0.25">
      <c r="C13" t="s">
        <v>7</v>
      </c>
      <c r="D13">
        <v>1</v>
      </c>
      <c r="E13">
        <v>29</v>
      </c>
      <c r="F13">
        <v>0.71599999999999997</v>
      </c>
      <c r="G13">
        <v>0.67940816299999995</v>
      </c>
      <c r="H13" t="s">
        <v>23</v>
      </c>
      <c r="L13" t="s">
        <v>7</v>
      </c>
      <c r="M13">
        <v>1</v>
      </c>
      <c r="N13">
        <v>32</v>
      </c>
      <c r="O13">
        <v>3.9329999999999998</v>
      </c>
      <c r="P13">
        <v>0.18143999999999999</v>
      </c>
      <c r="Q13" t="s">
        <v>23</v>
      </c>
    </row>
    <row r="14" spans="1:17" x14ac:dyDescent="0.25">
      <c r="A14" t="s">
        <v>8</v>
      </c>
      <c r="B14" t="s">
        <v>14</v>
      </c>
      <c r="C14" t="s">
        <v>5</v>
      </c>
      <c r="D14">
        <v>1</v>
      </c>
      <c r="E14">
        <v>29</v>
      </c>
      <c r="F14">
        <v>0.22600000000000001</v>
      </c>
      <c r="G14">
        <v>0.80003076900000003</v>
      </c>
      <c r="H14" t="s">
        <v>23</v>
      </c>
      <c r="J14" t="s">
        <v>9</v>
      </c>
      <c r="K14" t="s">
        <v>14</v>
      </c>
      <c r="L14" t="s">
        <v>5</v>
      </c>
      <c r="M14">
        <v>1</v>
      </c>
      <c r="N14">
        <v>32</v>
      </c>
      <c r="O14">
        <v>8.7629999999999999</v>
      </c>
      <c r="P14">
        <v>3.0374999999999999E-2</v>
      </c>
      <c r="Q14" t="s">
        <v>24</v>
      </c>
    </row>
    <row r="15" spans="1:17" x14ac:dyDescent="0.25">
      <c r="C15" t="s">
        <v>6</v>
      </c>
      <c r="D15">
        <v>1</v>
      </c>
      <c r="E15">
        <v>29</v>
      </c>
      <c r="F15">
        <v>0.22</v>
      </c>
      <c r="G15">
        <v>0.80003076900000003</v>
      </c>
      <c r="H15" t="s">
        <v>23</v>
      </c>
      <c r="L15" t="s">
        <v>6</v>
      </c>
      <c r="M15">
        <v>1</v>
      </c>
      <c r="N15">
        <v>32</v>
      </c>
      <c r="O15">
        <v>23.911000000000001</v>
      </c>
      <c r="P15">
        <v>1.1096999999999999E-3</v>
      </c>
      <c r="Q15" t="s">
        <v>24</v>
      </c>
    </row>
    <row r="16" spans="1:17" x14ac:dyDescent="0.25">
      <c r="C16" t="s">
        <v>7</v>
      </c>
      <c r="D16">
        <v>1</v>
      </c>
      <c r="E16">
        <v>29</v>
      </c>
      <c r="F16">
        <v>2.5000000000000001E-2</v>
      </c>
      <c r="G16">
        <v>0.93256578899999998</v>
      </c>
      <c r="H16" t="s">
        <v>23</v>
      </c>
      <c r="L16" t="s">
        <v>7</v>
      </c>
      <c r="M16">
        <v>1</v>
      </c>
      <c r="N16">
        <v>32</v>
      </c>
      <c r="O16">
        <v>17.577000000000002</v>
      </c>
      <c r="P16">
        <v>3.2886E-3</v>
      </c>
      <c r="Q16" t="s">
        <v>24</v>
      </c>
    </row>
    <row r="17" spans="1:17" x14ac:dyDescent="0.25">
      <c r="A17" t="s">
        <v>8</v>
      </c>
      <c r="B17" t="s">
        <v>16</v>
      </c>
      <c r="C17" t="s">
        <v>5</v>
      </c>
      <c r="D17">
        <v>1</v>
      </c>
      <c r="E17">
        <v>31</v>
      </c>
      <c r="F17">
        <v>11.212</v>
      </c>
      <c r="G17">
        <v>1.4727273000000001E-2</v>
      </c>
      <c r="H17" t="s">
        <v>24</v>
      </c>
      <c r="J17" t="s">
        <v>9</v>
      </c>
      <c r="K17" t="s">
        <v>16</v>
      </c>
      <c r="L17" t="s">
        <v>5</v>
      </c>
      <c r="M17">
        <v>1</v>
      </c>
      <c r="N17">
        <v>30</v>
      </c>
      <c r="O17">
        <v>19.341999999999999</v>
      </c>
      <c r="P17">
        <v>2.5717499999999998E-3</v>
      </c>
      <c r="Q17" t="s">
        <v>24</v>
      </c>
    </row>
    <row r="18" spans="1:17" x14ac:dyDescent="0.25">
      <c r="C18" t="s">
        <v>6</v>
      </c>
      <c r="D18">
        <v>1</v>
      </c>
      <c r="E18">
        <v>31</v>
      </c>
      <c r="F18">
        <v>1.6850000000000001</v>
      </c>
      <c r="G18">
        <v>0.44659459499999998</v>
      </c>
      <c r="H18" t="s">
        <v>23</v>
      </c>
      <c r="L18" t="s">
        <v>6</v>
      </c>
      <c r="M18">
        <v>1</v>
      </c>
      <c r="N18">
        <v>30</v>
      </c>
      <c r="O18">
        <v>10.865</v>
      </c>
      <c r="P18">
        <v>2.0250000000000001E-2</v>
      </c>
      <c r="Q18" t="s">
        <v>24</v>
      </c>
    </row>
    <row r="19" spans="1:17" x14ac:dyDescent="0.25">
      <c r="C19" t="s">
        <v>7</v>
      </c>
      <c r="D19">
        <v>1</v>
      </c>
      <c r="E19">
        <v>31</v>
      </c>
      <c r="F19">
        <v>0.61799999999999999</v>
      </c>
      <c r="G19">
        <v>0.6885</v>
      </c>
      <c r="H19" t="s">
        <v>23</v>
      </c>
      <c r="L19" t="s">
        <v>7</v>
      </c>
      <c r="M19">
        <v>1</v>
      </c>
      <c r="N19">
        <v>30</v>
      </c>
      <c r="O19">
        <v>8.9559999999999995</v>
      </c>
      <c r="P19">
        <v>2.7E-2</v>
      </c>
      <c r="Q19" t="s">
        <v>24</v>
      </c>
    </row>
    <row r="20" spans="1:17" x14ac:dyDescent="0.25">
      <c r="A20" t="s">
        <v>8</v>
      </c>
      <c r="B20" t="s">
        <v>17</v>
      </c>
      <c r="C20" t="s">
        <v>5</v>
      </c>
      <c r="D20">
        <v>1</v>
      </c>
      <c r="E20">
        <v>32</v>
      </c>
      <c r="F20">
        <v>0.61699999999999999</v>
      </c>
      <c r="G20">
        <v>0.6885</v>
      </c>
      <c r="H20" t="s">
        <v>23</v>
      </c>
      <c r="J20" t="s">
        <v>9</v>
      </c>
      <c r="K20" t="s">
        <v>17</v>
      </c>
      <c r="L20" t="s">
        <v>5</v>
      </c>
      <c r="M20">
        <v>1</v>
      </c>
      <c r="N20">
        <v>25</v>
      </c>
      <c r="O20">
        <v>0.441</v>
      </c>
      <c r="P20">
        <v>0.74575862100000001</v>
      </c>
      <c r="Q20" t="s">
        <v>23</v>
      </c>
    </row>
    <row r="21" spans="1:17" x14ac:dyDescent="0.25">
      <c r="C21" t="s">
        <v>6</v>
      </c>
      <c r="D21">
        <v>1</v>
      </c>
      <c r="E21">
        <v>32</v>
      </c>
      <c r="F21">
        <v>0.70499999999999996</v>
      </c>
      <c r="G21">
        <v>0.67940816299999995</v>
      </c>
      <c r="H21" t="s">
        <v>23</v>
      </c>
      <c r="L21" t="s">
        <v>6</v>
      </c>
      <c r="M21">
        <v>1</v>
      </c>
      <c r="N21">
        <v>25</v>
      </c>
      <c r="O21">
        <v>0.28599999999999998</v>
      </c>
      <c r="P21">
        <v>0.794065574</v>
      </c>
      <c r="Q21" t="s">
        <v>23</v>
      </c>
    </row>
    <row r="22" spans="1:17" x14ac:dyDescent="0.25">
      <c r="C22" t="s">
        <v>7</v>
      </c>
      <c r="D22">
        <v>1</v>
      </c>
      <c r="E22">
        <v>32</v>
      </c>
      <c r="F22">
        <v>6.0000000000000001E-3</v>
      </c>
      <c r="G22">
        <v>0.95174999999999998</v>
      </c>
      <c r="H22" t="s">
        <v>23</v>
      </c>
      <c r="L22" t="s">
        <v>7</v>
      </c>
      <c r="M22">
        <v>1</v>
      </c>
      <c r="N22">
        <v>25</v>
      </c>
      <c r="O22">
        <v>0.318</v>
      </c>
      <c r="P22">
        <v>0.78164999999999996</v>
      </c>
      <c r="Q22" t="s">
        <v>23</v>
      </c>
    </row>
    <row r="23" spans="1:17" x14ac:dyDescent="0.25">
      <c r="A23" t="s">
        <v>8</v>
      </c>
      <c r="B23" t="s">
        <v>18</v>
      </c>
      <c r="C23" t="s">
        <v>5</v>
      </c>
      <c r="D23">
        <v>1</v>
      </c>
      <c r="E23">
        <v>30</v>
      </c>
      <c r="F23">
        <v>3.468</v>
      </c>
      <c r="G23">
        <v>0.19439999999999999</v>
      </c>
      <c r="H23" t="s">
        <v>23</v>
      </c>
      <c r="J23" t="s">
        <v>9</v>
      </c>
      <c r="K23" t="s">
        <v>18</v>
      </c>
      <c r="L23" t="s">
        <v>5</v>
      </c>
      <c r="M23">
        <v>1</v>
      </c>
      <c r="N23">
        <v>30</v>
      </c>
      <c r="O23">
        <v>9.4559999999999995</v>
      </c>
      <c r="P23">
        <v>2.4923076999999998E-2</v>
      </c>
      <c r="Q23" t="s">
        <v>24</v>
      </c>
    </row>
    <row r="24" spans="1:17" x14ac:dyDescent="0.25">
      <c r="C24" t="s">
        <v>6</v>
      </c>
      <c r="D24">
        <v>1</v>
      </c>
      <c r="E24">
        <v>30</v>
      </c>
      <c r="F24">
        <v>6.6319999999999997</v>
      </c>
      <c r="G24">
        <v>5.7857143E-2</v>
      </c>
      <c r="H24" t="s">
        <v>23</v>
      </c>
      <c r="L24" t="s">
        <v>6</v>
      </c>
      <c r="M24">
        <v>1</v>
      </c>
      <c r="N24">
        <v>30</v>
      </c>
      <c r="O24">
        <v>2.8039999999999998</v>
      </c>
      <c r="P24">
        <v>0.247764706</v>
      </c>
      <c r="Q24" t="s">
        <v>23</v>
      </c>
    </row>
    <row r="25" spans="1:17" x14ac:dyDescent="0.25">
      <c r="C25" t="s">
        <v>7</v>
      </c>
      <c r="D25">
        <v>1</v>
      </c>
      <c r="E25">
        <v>30</v>
      </c>
      <c r="F25">
        <v>0.01</v>
      </c>
      <c r="G25">
        <v>0.94841772199999996</v>
      </c>
      <c r="H25" t="s">
        <v>23</v>
      </c>
      <c r="L25" t="s">
        <v>7</v>
      </c>
      <c r="M25">
        <v>1</v>
      </c>
      <c r="N25">
        <v>30</v>
      </c>
      <c r="O25">
        <v>3.5000000000000003E-2</v>
      </c>
      <c r="P25">
        <v>0.93096000000000001</v>
      </c>
      <c r="Q25" t="s">
        <v>23</v>
      </c>
    </row>
    <row r="26" spans="1:17" x14ac:dyDescent="0.25">
      <c r="A26" t="s">
        <v>8</v>
      </c>
      <c r="B26" t="s">
        <v>19</v>
      </c>
      <c r="C26" t="s">
        <v>5</v>
      </c>
      <c r="D26">
        <v>1</v>
      </c>
      <c r="E26">
        <v>32</v>
      </c>
      <c r="F26">
        <v>1.1910000000000001</v>
      </c>
      <c r="G26">
        <v>0.53754545499999995</v>
      </c>
      <c r="H26" t="s">
        <v>23</v>
      </c>
      <c r="J26" t="s">
        <v>9</v>
      </c>
      <c r="K26" t="s">
        <v>19</v>
      </c>
      <c r="L26" t="s">
        <v>5</v>
      </c>
      <c r="M26">
        <v>1</v>
      </c>
      <c r="N26">
        <v>31</v>
      </c>
      <c r="O26">
        <v>1.421</v>
      </c>
      <c r="P26">
        <v>0.51584210500000005</v>
      </c>
      <c r="Q26" t="s">
        <v>23</v>
      </c>
    </row>
    <row r="27" spans="1:17" x14ac:dyDescent="0.25">
      <c r="C27" t="s">
        <v>6</v>
      </c>
      <c r="D27">
        <v>1</v>
      </c>
      <c r="E27">
        <v>32</v>
      </c>
      <c r="F27">
        <v>0.57899999999999996</v>
      </c>
      <c r="G27">
        <v>0.69079245300000003</v>
      </c>
      <c r="H27" t="s">
        <v>23</v>
      </c>
      <c r="L27" t="s">
        <v>6</v>
      </c>
      <c r="M27">
        <v>1</v>
      </c>
      <c r="N27">
        <v>31</v>
      </c>
      <c r="O27">
        <v>1.2310000000000001</v>
      </c>
      <c r="P27">
        <v>0.53754545499999995</v>
      </c>
      <c r="Q27" t="s">
        <v>23</v>
      </c>
    </row>
    <row r="28" spans="1:17" x14ac:dyDescent="0.25">
      <c r="C28" t="s">
        <v>7</v>
      </c>
      <c r="D28">
        <v>1</v>
      </c>
      <c r="E28">
        <v>32</v>
      </c>
      <c r="F28">
        <v>0.126</v>
      </c>
      <c r="G28">
        <v>0.86360294100000001</v>
      </c>
      <c r="H28" t="s">
        <v>23</v>
      </c>
      <c r="L28" t="s">
        <v>7</v>
      </c>
      <c r="M28">
        <v>1</v>
      </c>
      <c r="N28">
        <v>31</v>
      </c>
      <c r="O28">
        <v>1.2989999999999999</v>
      </c>
      <c r="P28">
        <v>0.53754545499999995</v>
      </c>
      <c r="Q28" t="s">
        <v>23</v>
      </c>
    </row>
    <row r="29" spans="1:17" x14ac:dyDescent="0.25">
      <c r="A29" t="s">
        <v>8</v>
      </c>
      <c r="B29" t="s">
        <v>20</v>
      </c>
      <c r="C29" t="s">
        <v>5</v>
      </c>
      <c r="D29">
        <v>1</v>
      </c>
      <c r="E29">
        <v>31</v>
      </c>
      <c r="F29">
        <v>5.5439999999999996</v>
      </c>
      <c r="G29">
        <v>8.8043477999999994E-2</v>
      </c>
      <c r="H29" t="s">
        <v>23</v>
      </c>
      <c r="J29" t="s">
        <v>9</v>
      </c>
      <c r="K29" t="s">
        <v>20</v>
      </c>
      <c r="L29" t="s">
        <v>5</v>
      </c>
      <c r="M29">
        <v>1</v>
      </c>
      <c r="N29">
        <v>31</v>
      </c>
      <c r="O29">
        <v>4.5999999999999999E-2</v>
      </c>
      <c r="P29">
        <v>0.93096000000000001</v>
      </c>
      <c r="Q29" t="s">
        <v>23</v>
      </c>
    </row>
    <row r="30" spans="1:17" x14ac:dyDescent="0.25">
      <c r="C30" t="s">
        <v>6</v>
      </c>
      <c r="D30">
        <v>1</v>
      </c>
      <c r="E30">
        <v>31</v>
      </c>
      <c r="F30">
        <v>0.01</v>
      </c>
      <c r="G30">
        <v>0.94841772199999996</v>
      </c>
      <c r="H30" t="s">
        <v>23</v>
      </c>
      <c r="L30" t="s">
        <v>6</v>
      </c>
      <c r="M30">
        <v>1</v>
      </c>
      <c r="N30">
        <v>31</v>
      </c>
      <c r="O30">
        <v>3.05</v>
      </c>
      <c r="P30">
        <v>0.23034375000000001</v>
      </c>
      <c r="Q30" t="s">
        <v>23</v>
      </c>
    </row>
    <row r="31" spans="1:17" x14ac:dyDescent="0.25">
      <c r="C31" t="s">
        <v>7</v>
      </c>
      <c r="D31">
        <v>1</v>
      </c>
      <c r="E31">
        <v>31</v>
      </c>
      <c r="F31">
        <v>2E-3</v>
      </c>
      <c r="G31">
        <v>0.96599999999999997</v>
      </c>
      <c r="H31" t="s">
        <v>23</v>
      </c>
      <c r="L31" t="s">
        <v>7</v>
      </c>
      <c r="M31">
        <v>1</v>
      </c>
      <c r="N31">
        <v>31</v>
      </c>
      <c r="O31">
        <v>5.0999999999999997E-2</v>
      </c>
      <c r="P31">
        <v>0.93096000000000001</v>
      </c>
      <c r="Q31" t="s">
        <v>23</v>
      </c>
    </row>
    <row r="32" spans="1:17" x14ac:dyDescent="0.25">
      <c r="A32" t="s">
        <v>8</v>
      </c>
      <c r="B32" t="s">
        <v>21</v>
      </c>
      <c r="C32" t="s">
        <v>5</v>
      </c>
      <c r="D32">
        <v>1</v>
      </c>
      <c r="E32">
        <v>29</v>
      </c>
      <c r="F32">
        <v>14.372</v>
      </c>
      <c r="G32">
        <v>6.3270000000000002E-3</v>
      </c>
      <c r="H32" t="s">
        <v>24</v>
      </c>
      <c r="J32" t="s">
        <v>9</v>
      </c>
      <c r="K32" t="s">
        <v>21</v>
      </c>
      <c r="L32" t="s">
        <v>5</v>
      </c>
      <c r="M32">
        <v>1</v>
      </c>
      <c r="N32">
        <v>31</v>
      </c>
      <c r="O32">
        <v>0.53</v>
      </c>
      <c r="P32">
        <v>0.70799999999999996</v>
      </c>
      <c r="Q32" t="s">
        <v>23</v>
      </c>
    </row>
    <row r="33" spans="3:17" x14ac:dyDescent="0.25">
      <c r="C33" t="s">
        <v>6</v>
      </c>
      <c r="D33">
        <v>1</v>
      </c>
      <c r="E33">
        <v>29</v>
      </c>
      <c r="F33">
        <v>3.585</v>
      </c>
      <c r="G33">
        <v>0.19439999999999999</v>
      </c>
      <c r="H33" t="s">
        <v>23</v>
      </c>
      <c r="L33" t="s">
        <v>6</v>
      </c>
      <c r="M33">
        <v>1</v>
      </c>
      <c r="N33">
        <v>31</v>
      </c>
      <c r="O33">
        <v>0.222</v>
      </c>
      <c r="P33">
        <v>0.80003076900000003</v>
      </c>
      <c r="Q33" t="s">
        <v>23</v>
      </c>
    </row>
    <row r="34" spans="3:17" x14ac:dyDescent="0.25">
      <c r="C34" t="s">
        <v>7</v>
      </c>
      <c r="D34">
        <v>1</v>
      </c>
      <c r="E34">
        <v>29</v>
      </c>
      <c r="F34">
        <v>15.045</v>
      </c>
      <c r="G34">
        <v>5.6193750000000002E-3</v>
      </c>
      <c r="H34" t="s">
        <v>24</v>
      </c>
      <c r="L34" t="s">
        <v>7</v>
      </c>
      <c r="M34">
        <v>1</v>
      </c>
      <c r="N34">
        <v>31</v>
      </c>
      <c r="O34">
        <v>0.39700000000000002</v>
      </c>
      <c r="P34">
        <v>0.74575862100000001</v>
      </c>
      <c r="Q3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COLL FERNÁNDEZ</dc:creator>
  <cp:lastModifiedBy>ALBERTO COLL FERNÁNDEZ</cp:lastModifiedBy>
  <dcterms:created xsi:type="dcterms:W3CDTF">2026-06-03T09:09:17Z</dcterms:created>
  <dcterms:modified xsi:type="dcterms:W3CDTF">2026-06-03T11:27:01Z</dcterms:modified>
</cp:coreProperties>
</file>